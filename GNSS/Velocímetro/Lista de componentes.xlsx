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xr:revisionPtr revIDLastSave="2" documentId="13_ncr:1_{A742BA14-C8FC-4418-A303-530662735075}" xr6:coauthVersionLast="47" xr6:coauthVersionMax="47" xr10:uidLastSave="{27E2216A-C12F-49A3-8267-CB96F71C8E80}"/>
  <bookViews>
    <workbookView xWindow="-120" yWindow="-120" windowWidth="29040" windowHeight="15840" xr2:uid="{00000000-000D-0000-FFFF-FFFF00000000}"/>
  </bookViews>
  <sheets>
    <sheet name="lista ve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2" i="2" s="1"/>
  <c r="F8" i="2"/>
  <c r="F3" i="2" l="1"/>
  <c r="F4" i="2"/>
  <c r="F5" i="2"/>
  <c r="F6" i="2"/>
  <c r="F7" i="2"/>
  <c r="F10" i="2"/>
  <c r="F2" i="2"/>
</calcChain>
</file>

<file path=xl/sharedStrings.xml><?xml version="1.0" encoding="utf-8"?>
<sst xmlns="http://schemas.openxmlformats.org/spreadsheetml/2006/main" count="37" uniqueCount="34">
  <si>
    <t>ITEM</t>
  </si>
  <si>
    <t>QUANTIDADE</t>
  </si>
  <si>
    <t>LINK</t>
  </si>
  <si>
    <t>PREÇO UNITÁRIO</t>
  </si>
  <si>
    <t>PREÇO TOTAL</t>
  </si>
  <si>
    <t>raspberry pi 4 B</t>
  </si>
  <si>
    <t>https://www.robocore.net/placa-raspberry-pi/raspberry-pi-4-4gb</t>
  </si>
  <si>
    <t>tela touch</t>
  </si>
  <si>
    <t>https://www.adafruit.com/product/2407</t>
  </si>
  <si>
    <t>push button</t>
  </si>
  <si>
    <t>radar estático</t>
  </si>
  <si>
    <t>power bank</t>
  </si>
  <si>
    <t>https://www.americanas.com.br/produto/19804555?pfm_carac=carregador-portatil-power-bank-5000mah&amp;pfm_index=1&amp;pfm_page=search&amp;pfm_pos=grid&amp;pfm_type=search_page&amp;offerId=63350dab9064f2befb2b6ff1&amp;buyboxToken=smartbuybox-acom-v2-fe01096f-e609-4a95-a2fb-4482f4e03809-2023-04-28%2020%3A02%3A05%200000&amp;cor=Branco&amp;condition=NEW</t>
  </si>
  <si>
    <t>extensor usb</t>
  </si>
  <si>
    <t>https://produto.mercadolivre.com.br/MLB-1941226212-cabo-usb-macho-femea-extensor-de-100cm-com-parafusos-_JM#position=10&amp;search_layout=stack&amp;type=item&amp;tracking_id=26199c00-f69d-4f3d-a9f6-15dc5ef2f56f</t>
  </si>
  <si>
    <t>chave seletora</t>
  </si>
  <si>
    <t>https://www.eletronicacastro.com.br/chave-margirius/11485-chave-seletora-margirius-hh201-0000000114851.html</t>
  </si>
  <si>
    <t>antena GNSS</t>
  </si>
  <si>
    <t>https://www.amazon.de/-/en/Navilock-NL-8004U-Multi-Receiver-u-blox/dp/B00R9930XE</t>
  </si>
  <si>
    <t>cartão de memória</t>
  </si>
  <si>
    <t>cabo usb tipo C</t>
  </si>
  <si>
    <t>https://www.kalunga.com.br/prod/cabo-usb-2-0-a-para-tipo-c-1-2m-preto-wi349-multi-bt-1-un/745605?cq_src=google_ads&amp;cq_cmp=16975449824&amp;cq_con=&amp;cq_term=&amp;cq_med=pla&amp;cq_plac=&amp;cq_net=x&amp;cq_pos=&amp;cq_plt=gp&amp;pcID=3905&amp;gclid=Cj0KCQjw3a2iBhCFARIsAD4jQB3Y0B0NTs1dy9k9iu7PKHiz0-z6J6JqJIEaDFh_jRBKyfNr1U40yPcaAk2bEALw_wcB</t>
  </si>
  <si>
    <t>caixa patola BP-225</t>
  </si>
  <si>
    <t>https://www.patola.com.br/index.php?route=product/product&amp;product_id=44</t>
  </si>
  <si>
    <t>TOTAL</t>
  </si>
  <si>
    <t xml:space="preserve">Tela touchscreen de 7" com resolução de 800x480 </t>
  </si>
  <si>
    <t>Marca/Modelo:</t>
  </si>
  <si>
    <t>Texas Instruments / 2407</t>
  </si>
  <si>
    <t>Placa de desenvolvimento</t>
  </si>
  <si>
    <t>Raspberry / Pi 4B</t>
  </si>
  <si>
    <t>Antena GNSS</t>
  </si>
  <si>
    <t>Navilock / NL-8004U</t>
  </si>
  <si>
    <t>Banco de baterias 5000 mAh e saída de 2,1A</t>
  </si>
  <si>
    <t>Pineng /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</si>
</sst>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1" applyBorder="1"/>
    <xf numFmtId="164" fontId="0" fillId="0" borderId="1" xfId="2" applyFont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bocore.net/placa-raspberry-pi/raspberry-pi-4-4gb" TargetMode="External"/><Relationship Id="rId2" Type="http://schemas.openxmlformats.org/officeDocument/2006/relationships/hyperlink" Target="https://www.adafruit.com/product/2407" TargetMode="External"/><Relationship Id="rId1" Type="http://schemas.openxmlformats.org/officeDocument/2006/relationships/hyperlink" Target="https://www.kalunga.com.br/prod/cabo-usb-2-0-a-para-tipo-c-1-2m-preto-wi349-multi-bt-1-un/745605?cq_src=google_ads&amp;cq_cmp=16975449824&amp;cq_con=&amp;cq_term=&amp;cq_med=pla&amp;cq_plac=&amp;cq_net=x&amp;cq_pos=&amp;cq_plt=gp&amp;pcID=3905&amp;gclid=Cj0KCQjw3a2iBhCFARIsAD4jQB3Y0B0NTs1dy9k9iu7PKHiz0-z6J6JqJIEaDFh_jRBKyfNr1U40yPcaAk2bEALw_wcB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de/-/en/Navilock-NL-8004U-Multi-Receiver-u-blox/dp/B00R9930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0"/>
  <sheetViews>
    <sheetView tabSelected="1" workbookViewId="0">
      <selection activeCell="J12" sqref="J12"/>
    </sheetView>
  </sheetViews>
  <sheetFormatPr defaultRowHeight="15"/>
  <cols>
    <col min="1" max="1" width="4.85546875" customWidth="1"/>
    <col min="2" max="2" width="18.42578125" customWidth="1"/>
    <col min="3" max="3" width="25.85546875" customWidth="1"/>
    <col min="4" max="4" width="17.28515625" customWidth="1"/>
    <col min="5" max="5" width="26.42578125" customWidth="1"/>
    <col min="6" max="6" width="12.140625" bestFit="1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s="1" t="s">
        <v>5</v>
      </c>
      <c r="C2" s="1">
        <v>1</v>
      </c>
      <c r="D2" s="2" t="s">
        <v>6</v>
      </c>
      <c r="E2" s="3">
        <v>749.9</v>
      </c>
      <c r="F2" s="4">
        <f>E2*C2</f>
        <v>749.9</v>
      </c>
    </row>
    <row r="3" spans="2:6">
      <c r="B3" s="1" t="s">
        <v>7</v>
      </c>
      <c r="C3" s="1">
        <v>1</v>
      </c>
      <c r="D3" s="2" t="s">
        <v>8</v>
      </c>
      <c r="E3" s="3">
        <v>448.74</v>
      </c>
      <c r="F3" s="4">
        <f t="shared" ref="F3:F11" si="0">E3*C3</f>
        <v>448.74</v>
      </c>
    </row>
    <row r="4" spans="2:6">
      <c r="B4" s="1" t="s">
        <v>9</v>
      </c>
      <c r="C4" s="1">
        <v>2</v>
      </c>
      <c r="D4" s="1" t="s">
        <v>10</v>
      </c>
      <c r="E4" s="3"/>
      <c r="F4" s="4">
        <f t="shared" si="0"/>
        <v>0</v>
      </c>
    </row>
    <row r="5" spans="2:6">
      <c r="B5" s="1" t="s">
        <v>11</v>
      </c>
      <c r="C5" s="1">
        <v>1</v>
      </c>
      <c r="D5" s="2" t="s">
        <v>12</v>
      </c>
      <c r="E5" s="3">
        <v>63.89</v>
      </c>
      <c r="F5" s="4">
        <f t="shared" si="0"/>
        <v>63.89</v>
      </c>
    </row>
    <row r="6" spans="2:6">
      <c r="B6" s="1" t="s">
        <v>13</v>
      </c>
      <c r="C6" s="1">
        <v>3</v>
      </c>
      <c r="D6" s="1" t="s">
        <v>14</v>
      </c>
      <c r="E6" s="3">
        <v>35</v>
      </c>
      <c r="F6" s="4">
        <f t="shared" si="0"/>
        <v>105</v>
      </c>
    </row>
    <row r="7" spans="2:6">
      <c r="B7" s="1" t="s">
        <v>15</v>
      </c>
      <c r="C7" s="1">
        <v>1</v>
      </c>
      <c r="D7" s="1" t="s">
        <v>16</v>
      </c>
      <c r="E7" s="3">
        <v>10</v>
      </c>
      <c r="F7" s="4">
        <f t="shared" si="0"/>
        <v>10</v>
      </c>
    </row>
    <row r="8" spans="2:6">
      <c r="B8" s="1" t="s">
        <v>17</v>
      </c>
      <c r="C8" s="1">
        <v>1</v>
      </c>
      <c r="D8" s="2" t="s">
        <v>18</v>
      </c>
      <c r="E8" s="3">
        <v>711</v>
      </c>
      <c r="F8" s="4">
        <f t="shared" si="0"/>
        <v>711</v>
      </c>
    </row>
    <row r="9" spans="2:6">
      <c r="B9" s="1" t="s">
        <v>19</v>
      </c>
      <c r="C9" s="1"/>
      <c r="D9" s="2"/>
      <c r="E9" s="3"/>
      <c r="F9" s="4"/>
    </row>
    <row r="10" spans="2:6">
      <c r="B10" s="1" t="s">
        <v>20</v>
      </c>
      <c r="C10" s="1">
        <v>1</v>
      </c>
      <c r="D10" s="2" t="s">
        <v>21</v>
      </c>
      <c r="E10" s="3">
        <v>20</v>
      </c>
      <c r="F10" s="4">
        <f t="shared" si="0"/>
        <v>20</v>
      </c>
    </row>
    <row r="11" spans="2:6">
      <c r="B11" s="1" t="s">
        <v>22</v>
      </c>
      <c r="C11" s="1">
        <v>1</v>
      </c>
      <c r="D11" s="2" t="s">
        <v>23</v>
      </c>
      <c r="E11" s="3">
        <v>115</v>
      </c>
      <c r="F11" s="4">
        <f t="shared" si="0"/>
        <v>115</v>
      </c>
    </row>
    <row r="12" spans="2:6" ht="21">
      <c r="B12" s="11" t="s">
        <v>24</v>
      </c>
      <c r="C12" s="11"/>
      <c r="D12" s="11"/>
      <c r="E12" s="11"/>
      <c r="F12" s="4">
        <f>SUM(F2:F11)</f>
        <v>2223.5299999999997</v>
      </c>
    </row>
    <row r="16" spans="2:6" ht="15.75" thickBot="1"/>
    <row r="17" spans="2:5">
      <c r="B17" s="12" t="s">
        <v>25</v>
      </c>
      <c r="C17" s="13"/>
      <c r="D17" s="6" t="s">
        <v>26</v>
      </c>
      <c r="E17" s="7" t="s">
        <v>27</v>
      </c>
    </row>
    <row r="18" spans="2:5">
      <c r="B18" s="14" t="s">
        <v>28</v>
      </c>
      <c r="C18" s="15"/>
      <c r="D18" s="5" t="s">
        <v>26</v>
      </c>
      <c r="E18" s="8" t="s">
        <v>29</v>
      </c>
    </row>
    <row r="19" spans="2:5">
      <c r="B19" s="14" t="s">
        <v>30</v>
      </c>
      <c r="C19" s="15"/>
      <c r="D19" s="5" t="s">
        <v>26</v>
      </c>
      <c r="E19" s="8" t="s">
        <v>31</v>
      </c>
    </row>
    <row r="20" spans="2:5" ht="15.75" thickBot="1">
      <c r="B20" s="16" t="s">
        <v>32</v>
      </c>
      <c r="C20" s="17"/>
      <c r="D20" s="9" t="s">
        <v>26</v>
      </c>
      <c r="E20" s="10" t="s">
        <v>33</v>
      </c>
    </row>
  </sheetData>
  <mergeCells count="5">
    <mergeCell ref="B12:E12"/>
    <mergeCell ref="B17:C17"/>
    <mergeCell ref="B18:C18"/>
    <mergeCell ref="B19:C19"/>
    <mergeCell ref="B20:C20"/>
  </mergeCells>
  <hyperlinks>
    <hyperlink ref="D10" r:id="rId1" display="https://www.kalunga.com.br/prod/cabo-usb-2-0-a-para-tipo-c-1-2m-preto-wi349-multi-bt-1-un/745605?cq_src=google_ads&amp;cq_cmp=16975449824&amp;cq_con=&amp;cq_term=&amp;cq_med=pla&amp;cq_plac=&amp;cq_net=x&amp;cq_pos=&amp;cq_plt=gp&amp;pcID=3905&amp;gclid=Cj0KCQjw3a2iBhCFARIsAD4jQB3Y0B0NTs1dy9k9iu7PKHiz0-z6J6JqJIEaDFh_jRBKyfNr1U40yPcaAk2bEALw_wcB" xr:uid="{00000000-0004-0000-0100-000000000000}"/>
    <hyperlink ref="D3" r:id="rId2" xr:uid="{00000000-0004-0000-0100-000001000000}"/>
    <hyperlink ref="D2" r:id="rId3" xr:uid="{00000000-0004-0000-0100-000002000000}"/>
    <hyperlink ref="D8" r:id="rId4" xr:uid="{00000000-0004-0000-0100-000003000000}"/>
    <hyperlink ref="D5" display="https://www.americanas.com.br/produto/19804555?pfm_carac=carregador-portatil-power-bank-5000mah&amp;pfm_index=1&amp;pfm_page=search&amp;pfm_pos=grid&amp;pfm_type=search_page&amp;offerId=63350dab9064f2befb2b6ff1&amp;buyboxToken=smartbuybox-acom-v2-fe01096f-e609-4a95-a2fb-4482f4e0" xr:uid="{00000000-0004-0000-0100-000004000000}"/>
  </hyperlinks>
  <pageMargins left="0.511811024" right="0.511811024" top="0.78740157499999996" bottom="0.78740157499999996" header="0.31496062000000002" footer="0.31496062000000002"/>
  <pageSetup paperSize="9" orientation="portrait" r:id="rId5"/>
  <headerFooter>
    <oddFooter>&amp;L_x000D_&amp;1#&amp;"Calibri"&amp;10&amp;K000000 Publico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39adea-016f-4eaf-ac2c-647e43c80d8a">
      <Terms xmlns="http://schemas.microsoft.com/office/infopath/2007/PartnerControls"/>
    </lcf76f155ced4ddcb4097134ff3c332f>
    <TaxCatchAll xmlns="de42e9ed-3541-43ab-8967-bda60acddb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42E6A5426F148A52E7A5F88E62523" ma:contentTypeVersion="17" ma:contentTypeDescription="Create a new document." ma:contentTypeScope="" ma:versionID="d6370a60ca6021ca6f743d74ec8ce700">
  <xsd:schema xmlns:xsd="http://www.w3.org/2001/XMLSchema" xmlns:xs="http://www.w3.org/2001/XMLSchema" xmlns:p="http://schemas.microsoft.com/office/2006/metadata/properties" xmlns:ns2="de39adea-016f-4eaf-ac2c-647e43c80d8a" xmlns:ns3="de42e9ed-3541-43ab-8967-bda60acddbf6" targetNamespace="http://schemas.microsoft.com/office/2006/metadata/properties" ma:root="true" ma:fieldsID="8c3df57c32fb3ccd9a08b54ab6d2e6ba" ns2:_="" ns3:_="">
    <xsd:import namespace="de39adea-016f-4eaf-ac2c-647e43c80d8a"/>
    <xsd:import namespace="de42e9ed-3541-43ab-8967-bda60acdd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9adea-016f-4eaf-ac2c-647e43c80d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a7eeb22-7224-47c7-bf49-9ac7f1ad6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2e9ed-3541-43ab-8967-bda60acdd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9206df-0ee0-412a-914f-1c03bd0b1272}" ma:internalName="TaxCatchAll" ma:showField="CatchAllData" ma:web="de42e9ed-3541-43ab-8967-bda60acdd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095C78-A585-4173-9524-B02153CA70D6}"/>
</file>

<file path=customXml/itemProps2.xml><?xml version="1.0" encoding="utf-8"?>
<ds:datastoreItem xmlns:ds="http://schemas.openxmlformats.org/officeDocument/2006/customXml" ds:itemID="{5E28452D-B8AE-47D7-BBE8-FB6E83ACEC07}"/>
</file>

<file path=customXml/itemProps3.xml><?xml version="1.0" encoding="utf-8"?>
<ds:datastoreItem xmlns:ds="http://schemas.openxmlformats.org/officeDocument/2006/customXml" ds:itemID="{F24AE85F-63E0-48CC-9DF6-273FF0BB5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Daniel Santana</cp:lastModifiedBy>
  <cp:revision/>
  <dcterms:created xsi:type="dcterms:W3CDTF">2022-05-23T15:02:08Z</dcterms:created>
  <dcterms:modified xsi:type="dcterms:W3CDTF">2024-03-12T16:16:57Z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0x010100AD742E6A5426F148A52E7A5F88E62523</vt:lpwstr>
  </property>
  <property fmtid="{D5CDD505-2E9C-101B-9397-08002B2CF9AE}" pid="3" name="MediaServiceImageTags">
    <vt:lpwstr/>
  </property>
  <property fmtid="{D5CDD505-2E9C-101B-9397-08002B2CF9AE}" pid="4" name="MSIP_Label_4e516e60-f1f4-4ab1-b51f-5175e602d24c_Enabled">
    <vt:lpwstr>true</vt:lpwstr>
  </property>
  <property fmtid="{D5CDD505-2E9C-101B-9397-08002B2CF9AE}" pid="5" name="MSIP_Label_4e516e60-f1f4-4ab1-b51f-5175e602d24c_SetDate">
    <vt:lpwstr>2024-03-12T16:16:25Z</vt:lpwstr>
  </property>
  <property fmtid="{D5CDD505-2E9C-101B-9397-08002B2CF9AE}" pid="6" name="MSIP_Label_4e516e60-f1f4-4ab1-b51f-5175e602d24c_Method">
    <vt:lpwstr>Standard</vt:lpwstr>
  </property>
  <property fmtid="{D5CDD505-2E9C-101B-9397-08002B2CF9AE}" pid="7" name="MSIP_Label_4e516e60-f1f4-4ab1-b51f-5175e602d24c_Name">
    <vt:lpwstr>Documento Publico</vt:lpwstr>
  </property>
  <property fmtid="{D5CDD505-2E9C-101B-9397-08002B2CF9AE}" pid="8" name="MSIP_Label_4e516e60-f1f4-4ab1-b51f-5175e602d24c_SiteId">
    <vt:lpwstr>24c92f9b-d861-4add-baa2-206765b7b2fe</vt:lpwstr>
  </property>
  <property fmtid="{D5CDD505-2E9C-101B-9397-08002B2CF9AE}" pid="9" name="MSIP_Label_4e516e60-f1f4-4ab1-b51f-5175e602d24c_ActionId">
    <vt:lpwstr>0b27edc5-9753-472a-9bf3-655d71484f3d</vt:lpwstr>
  </property>
  <property fmtid="{D5CDD505-2E9C-101B-9397-08002B2CF9AE}" pid="10" name="MSIP_Label_4e516e60-f1f4-4ab1-b51f-5175e602d24c_ContentBits">
    <vt:lpwstr>2</vt:lpwstr>
  </property>
</Properties>
</file>